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a.sarkar/code/partha/retirement-cash-flow-simulator/historical-data/"/>
    </mc:Choice>
  </mc:AlternateContent>
  <xr:revisionPtr revIDLastSave="0" documentId="13_ncr:1_{D665F959-0800-5E42-9120-C9B4BFEFF73E}" xr6:coauthVersionLast="47" xr6:coauthVersionMax="47" xr10:uidLastSave="{00000000-0000-0000-0000-000000000000}"/>
  <bookViews>
    <workbookView xWindow="21580" yWindow="6900" windowWidth="26840" windowHeight="15940" xr2:uid="{159739CE-DF52-8B49-B7EE-25D3837DC3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E72" i="1" s="1"/>
  <c r="F72" i="1" s="1"/>
  <c r="C50" i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E60" i="1" s="1"/>
  <c r="F60" i="1" s="1"/>
  <c r="C38" i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E48" i="1" s="1"/>
  <c r="F48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E36" i="1" s="1"/>
  <c r="F36" i="1" s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E24" i="1" s="1"/>
  <c r="F24" i="1" s="1"/>
  <c r="C12" i="1"/>
  <c r="E12" i="1" s="1"/>
  <c r="F12" i="1" s="1"/>
  <c r="C11" i="1"/>
  <c r="C10" i="1"/>
  <c r="C9" i="1"/>
  <c r="C8" i="1"/>
  <c r="C7" i="1"/>
  <c r="C6" i="1"/>
  <c r="C5" i="1"/>
  <c r="C4" i="1"/>
  <c r="C3" i="1"/>
  <c r="C2" i="1"/>
  <c r="A1" i="2" a="1"/>
  <c r="A1" i="2" l="1"/>
  <c r="E49" i="1" l="1"/>
  <c r="F49" i="1" s="1"/>
  <c r="E25" i="1"/>
  <c r="F25" i="1" s="1"/>
  <c r="E37" i="1"/>
  <c r="F37" i="1" s="1"/>
  <c r="E61" i="1"/>
  <c r="F61" i="1" s="1"/>
  <c r="E13" i="1" l="1"/>
  <c r="F13" i="1" s="1"/>
  <c r="E62" i="1"/>
  <c r="F62" i="1" s="1"/>
  <c r="E38" i="1"/>
  <c r="F38" i="1" s="1"/>
  <c r="E26" i="1"/>
  <c r="F26" i="1" s="1"/>
  <c r="E50" i="1"/>
  <c r="F50" i="1" s="1"/>
  <c r="E1" i="1"/>
  <c r="F1" i="1" s="1"/>
  <c r="E2" i="1" l="1"/>
  <c r="F2" i="1" s="1"/>
  <c r="E51" i="1"/>
  <c r="F51" i="1" s="1"/>
  <c r="E27" i="1"/>
  <c r="F27" i="1" s="1"/>
  <c r="E39" i="1"/>
  <c r="F39" i="1" s="1"/>
  <c r="E63" i="1"/>
  <c r="F63" i="1" s="1"/>
  <c r="E14" i="1"/>
  <c r="F14" i="1" s="1"/>
  <c r="E15" i="1" l="1"/>
  <c r="F15" i="1" s="1"/>
  <c r="E64" i="1"/>
  <c r="F64" i="1" s="1"/>
  <c r="E40" i="1"/>
  <c r="F40" i="1" s="1"/>
  <c r="E28" i="1"/>
  <c r="F28" i="1" s="1"/>
  <c r="E52" i="1"/>
  <c r="F52" i="1" s="1"/>
  <c r="E3" i="1"/>
  <c r="F3" i="1" s="1"/>
  <c r="E53" i="1" l="1"/>
  <c r="F53" i="1" s="1"/>
  <c r="E29" i="1"/>
  <c r="F29" i="1" s="1"/>
  <c r="E4" i="1"/>
  <c r="F4" i="1" s="1"/>
  <c r="E41" i="1"/>
  <c r="F41" i="1" s="1"/>
  <c r="E65" i="1"/>
  <c r="F65" i="1" s="1"/>
  <c r="E16" i="1"/>
  <c r="F16" i="1" s="1"/>
  <c r="E66" i="1" l="1"/>
  <c r="F66" i="1" s="1"/>
  <c r="E17" i="1"/>
  <c r="F17" i="1" s="1"/>
  <c r="E42" i="1"/>
  <c r="F42" i="1" s="1"/>
  <c r="E5" i="1"/>
  <c r="F5" i="1" s="1"/>
  <c r="E30" i="1"/>
  <c r="F30" i="1" s="1"/>
  <c r="E54" i="1"/>
  <c r="F54" i="1" s="1"/>
  <c r="E31" i="1" l="1"/>
  <c r="F31" i="1" s="1"/>
  <c r="E6" i="1"/>
  <c r="F6" i="1" s="1"/>
  <c r="E18" i="1"/>
  <c r="F18" i="1" s="1"/>
  <c r="E55" i="1"/>
  <c r="F55" i="1" s="1"/>
  <c r="E43" i="1"/>
  <c r="F43" i="1" s="1"/>
  <c r="E67" i="1"/>
  <c r="F67" i="1" s="1"/>
  <c r="E57" i="1" l="1"/>
  <c r="F57" i="1" s="1"/>
  <c r="E56" i="1"/>
  <c r="F56" i="1" s="1"/>
  <c r="E45" i="1"/>
  <c r="F45" i="1" s="1"/>
  <c r="E44" i="1"/>
  <c r="F44" i="1" s="1"/>
  <c r="E19" i="1"/>
  <c r="F19" i="1" s="1"/>
  <c r="E7" i="1"/>
  <c r="F7" i="1" s="1"/>
  <c r="E69" i="1"/>
  <c r="F69" i="1" s="1"/>
  <c r="E68" i="1"/>
  <c r="F68" i="1" s="1"/>
  <c r="E33" i="1"/>
  <c r="F33" i="1" s="1"/>
  <c r="E32" i="1"/>
  <c r="F32" i="1" s="1"/>
  <c r="E8" i="1" l="1"/>
  <c r="F8" i="1" s="1"/>
  <c r="E20" i="1"/>
  <c r="F20" i="1" s="1"/>
  <c r="E21" i="1" l="1"/>
  <c r="F21" i="1" s="1"/>
  <c r="E9" i="1"/>
  <c r="F9" i="1" s="1"/>
  <c r="E11" i="1" l="1"/>
  <c r="F11" i="1" s="1"/>
  <c r="E10" i="1"/>
  <c r="F10" i="1" s="1"/>
  <c r="E23" i="1"/>
  <c r="F23" i="1" s="1"/>
  <c r="E22" i="1"/>
  <c r="F22" i="1" s="1"/>
  <c r="E71" i="1"/>
  <c r="F71" i="1" s="1"/>
  <c r="E70" i="1"/>
  <c r="F70" i="1" s="1"/>
  <c r="E46" i="1"/>
  <c r="F46" i="1" s="1"/>
  <c r="E47" i="1"/>
  <c r="F47" i="1" s="1"/>
  <c r="E34" i="1"/>
  <c r="F34" i="1" s="1"/>
  <c r="E35" i="1"/>
  <c r="F35" i="1" s="1"/>
  <c r="E59" i="1"/>
  <c r="F59" i="1" s="1"/>
  <c r="E58" i="1"/>
  <c r="F5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</futureMetadata>
  <cellMetadata count="1">
    <bk>
      <rc t="1" v="0"/>
    </bk>
  </cellMetadata>
  <valueMetadata count="8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</valueMetadata>
</metadata>
</file>

<file path=xl/sharedStrings.xml><?xml version="1.0" encoding="utf-8"?>
<sst xmlns="http://schemas.openxmlformats.org/spreadsheetml/2006/main" count="73" uniqueCount="13">
  <si>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</si>
  <si>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</si>
  <si>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</si>
  <si>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</si>
  <si>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</si>
  <si>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</si>
  <si>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</si>
  <si>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</si>
  <si>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</si>
  <si>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</si>
  <si>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</si>
  <si>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</si>
  <si>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r>
      <t>MonthMonth-End DateClosing Value% Change (MoM)</t>
    </r>
    <r>
      <rPr>
        <b/>
        <sz val="12"/>
        <color theme="1"/>
        <rFont val="Aptos Narrow"/>
        <family val="2"/>
        <scheme val="minor"/>
      </rPr>
      <t>January</t>
    </r>
    <r>
      <rPr>
        <sz val="12"/>
        <color theme="1"/>
        <rFont val="Aptos Narrow"/>
        <family val="2"/>
        <scheme val="minor"/>
      </rPr>
      <t>Jan 31, 2020</t>
    </r>
    <r>
      <rPr>
        <b/>
        <sz val="12"/>
        <color theme="1"/>
        <rFont val="Aptos Narrow"/>
        <family val="2"/>
        <scheme val="minor"/>
      </rPr>
      <t>3,225.52</t>
    </r>
    <r>
      <rPr>
        <sz val="12"/>
        <color theme="1"/>
        <rFont val="Aptos Narrow"/>
        <family val="2"/>
        <scheme val="minor"/>
      </rPr>
      <t>-0.2%</t>
    </r>
    <r>
      <rPr>
        <b/>
        <sz val="12"/>
        <color theme="1"/>
        <rFont val="Aptos Narrow"/>
        <family val="2"/>
        <scheme val="minor"/>
      </rPr>
      <t>February</t>
    </r>
    <r>
      <rPr>
        <sz val="12"/>
        <color theme="1"/>
        <rFont val="Aptos Narrow"/>
        <family val="2"/>
        <scheme val="minor"/>
      </rPr>
      <t>Feb 28, 2020</t>
    </r>
    <r>
      <rPr>
        <b/>
        <sz val="12"/>
        <color theme="1"/>
        <rFont val="Aptos Narrow"/>
        <family val="2"/>
        <scheme val="minor"/>
      </rPr>
      <t>2,954.22</t>
    </r>
    <r>
      <rPr>
        <sz val="12"/>
        <color theme="1"/>
        <rFont val="Aptos Narrow"/>
        <family val="2"/>
        <scheme val="minor"/>
      </rPr>
      <t>-8.4%</t>
    </r>
    <r>
      <rPr>
        <b/>
        <sz val="12"/>
        <color theme="1"/>
        <rFont val="Aptos Narrow"/>
        <family val="2"/>
        <scheme val="minor"/>
      </rPr>
      <t>March</t>
    </r>
    <r>
      <rPr>
        <sz val="12"/>
        <color theme="1"/>
        <rFont val="Aptos Narrow"/>
        <family val="2"/>
        <scheme val="minor"/>
      </rPr>
      <t>Mar 31, 2020</t>
    </r>
    <r>
      <rPr>
        <b/>
        <sz val="12"/>
        <color theme="1"/>
        <rFont val="Aptos Narrow"/>
        <family val="2"/>
        <scheme val="minor"/>
      </rPr>
      <t>2,584.59</t>
    </r>
    <r>
      <rPr>
        <sz val="12"/>
        <color theme="1"/>
        <rFont val="Aptos Narrow"/>
        <family val="2"/>
        <scheme val="minor"/>
      </rPr>
      <t>-12.5%</t>
    </r>
    <r>
      <rPr>
        <b/>
        <sz val="12"/>
        <color theme="1"/>
        <rFont val="Aptos Narrow"/>
        <family val="2"/>
        <scheme val="minor"/>
      </rPr>
      <t>April</t>
    </r>
    <r>
      <rPr>
        <sz val="12"/>
        <color theme="1"/>
        <rFont val="Aptos Narrow"/>
        <family val="2"/>
        <scheme val="minor"/>
      </rPr>
      <t>Apr 30, 2020</t>
    </r>
    <r>
      <rPr>
        <b/>
        <sz val="12"/>
        <color theme="1"/>
        <rFont val="Aptos Narrow"/>
        <family val="2"/>
        <scheme val="minor"/>
      </rPr>
      <t>2,912.43</t>
    </r>
    <r>
      <rPr>
        <sz val="12"/>
        <color theme="1"/>
        <rFont val="Aptos Narrow"/>
        <family val="2"/>
        <scheme val="minor"/>
      </rPr>
      <t>+12.7%</t>
    </r>
    <r>
      <rPr>
        <b/>
        <sz val="12"/>
        <color theme="1"/>
        <rFont val="Aptos Narrow"/>
        <family val="2"/>
        <scheme val="minor"/>
      </rPr>
      <t>May</t>
    </r>
    <r>
      <rPr>
        <sz val="12"/>
        <color theme="1"/>
        <rFont val="Aptos Narrow"/>
        <family val="2"/>
        <scheme val="minor"/>
      </rPr>
      <t>May 29, 2020</t>
    </r>
    <r>
      <rPr>
        <b/>
        <sz val="12"/>
        <color theme="1"/>
        <rFont val="Aptos Narrow"/>
        <family val="2"/>
        <scheme val="minor"/>
      </rPr>
      <t>3,044.31</t>
    </r>
    <r>
      <rPr>
        <sz val="12"/>
        <color theme="1"/>
        <rFont val="Aptos Narrow"/>
        <family val="2"/>
        <scheme val="minor"/>
      </rPr>
      <t>+4.5%</t>
    </r>
    <r>
      <rPr>
        <b/>
        <sz val="12"/>
        <color theme="1"/>
        <rFont val="Aptos Narrow"/>
        <family val="2"/>
        <scheme val="minor"/>
      </rPr>
      <t>June</t>
    </r>
    <r>
      <rPr>
        <sz val="12"/>
        <color theme="1"/>
        <rFont val="Aptos Narrow"/>
        <family val="2"/>
        <scheme val="minor"/>
      </rPr>
      <t>Jun 30, 2020</t>
    </r>
    <r>
      <rPr>
        <b/>
        <sz val="12"/>
        <color theme="1"/>
        <rFont val="Aptos Narrow"/>
        <family val="2"/>
        <scheme val="minor"/>
      </rPr>
      <t>3,100.29</t>
    </r>
    <r>
      <rPr>
        <sz val="12"/>
        <color theme="1"/>
        <rFont val="Aptos Narrow"/>
        <family val="2"/>
        <scheme val="minor"/>
      </rPr>
      <t>+1.8%</t>
    </r>
    <r>
      <rPr>
        <b/>
        <sz val="12"/>
        <color theme="1"/>
        <rFont val="Aptos Narrow"/>
        <family val="2"/>
        <scheme val="minor"/>
      </rPr>
      <t>July</t>
    </r>
    <r>
      <rPr>
        <sz val="12"/>
        <color theme="1"/>
        <rFont val="Aptos Narrow"/>
        <family val="2"/>
        <scheme val="minor"/>
      </rPr>
      <t>Jul 31, 2020</t>
    </r>
    <r>
      <rPr>
        <b/>
        <sz val="12"/>
        <color theme="1"/>
        <rFont val="Aptos Narrow"/>
        <family val="2"/>
        <scheme val="minor"/>
      </rPr>
      <t>3,271.12</t>
    </r>
    <r>
      <rPr>
        <sz val="12"/>
        <color theme="1"/>
        <rFont val="Aptos Narrow"/>
        <family val="2"/>
        <scheme val="minor"/>
      </rPr>
      <t>+5.5%</t>
    </r>
    <r>
      <rPr>
        <b/>
        <sz val="12"/>
        <color theme="1"/>
        <rFont val="Aptos Narrow"/>
        <family val="2"/>
        <scheme val="minor"/>
      </rPr>
      <t>August</t>
    </r>
    <r>
      <rPr>
        <sz val="12"/>
        <color theme="1"/>
        <rFont val="Aptos Narrow"/>
        <family val="2"/>
        <scheme val="minor"/>
      </rPr>
      <t>Aug 31, 2020</t>
    </r>
    <r>
      <rPr>
        <b/>
        <sz val="12"/>
        <color theme="1"/>
        <rFont val="Aptos Narrow"/>
        <family val="2"/>
        <scheme val="minor"/>
      </rPr>
      <t>3,500.31</t>
    </r>
    <r>
      <rPr>
        <sz val="12"/>
        <color theme="1"/>
        <rFont val="Aptos Narrow"/>
        <family val="2"/>
        <scheme val="minor"/>
      </rPr>
      <t>+7.0%</t>
    </r>
    <r>
      <rPr>
        <b/>
        <sz val="12"/>
        <color theme="1"/>
        <rFont val="Aptos Narrow"/>
        <family val="2"/>
        <scheme val="minor"/>
      </rPr>
      <t>September</t>
    </r>
    <r>
      <rPr>
        <sz val="12"/>
        <color theme="1"/>
        <rFont val="Aptos Narrow"/>
        <family val="2"/>
        <scheme val="minor"/>
      </rPr>
      <t>Sep 30, 2020</t>
    </r>
    <r>
      <rPr>
        <b/>
        <sz val="12"/>
        <color theme="1"/>
        <rFont val="Aptos Narrow"/>
        <family val="2"/>
        <scheme val="minor"/>
      </rPr>
      <t>3,363.00</t>
    </r>
    <r>
      <rPr>
        <sz val="12"/>
        <color theme="1"/>
        <rFont val="Aptos Narrow"/>
        <family val="2"/>
        <scheme val="minor"/>
      </rPr>
      <t>-3.9%</t>
    </r>
    <r>
      <rPr>
        <b/>
        <sz val="12"/>
        <color theme="1"/>
        <rFont val="Aptos Narrow"/>
        <family val="2"/>
        <scheme val="minor"/>
      </rPr>
      <t>October</t>
    </r>
    <r>
      <rPr>
        <sz val="12"/>
        <color theme="1"/>
        <rFont val="Aptos Narrow"/>
        <family val="2"/>
        <scheme val="minor"/>
      </rPr>
      <t>Oct 30, 2020</t>
    </r>
    <r>
      <rPr>
        <b/>
        <sz val="12"/>
        <color theme="1"/>
        <rFont val="Aptos Narrow"/>
        <family val="2"/>
        <scheme val="minor"/>
      </rPr>
      <t>3,269.96</t>
    </r>
    <r>
      <rPr>
        <sz val="12"/>
        <color theme="1"/>
        <rFont val="Aptos Narrow"/>
        <family val="2"/>
        <scheme val="minor"/>
      </rPr>
      <t>-2.8%</t>
    </r>
    <r>
      <rPr>
        <b/>
        <sz val="12"/>
        <color theme="1"/>
        <rFont val="Aptos Narrow"/>
        <family val="2"/>
        <scheme val="minor"/>
      </rPr>
      <t>November</t>
    </r>
    <r>
      <rPr>
        <sz val="12"/>
        <color theme="1"/>
        <rFont val="Aptos Narrow"/>
        <family val="2"/>
        <scheme val="minor"/>
      </rPr>
      <t>Nov 30, 2020</t>
    </r>
    <r>
      <rPr>
        <b/>
        <sz val="12"/>
        <color theme="1"/>
        <rFont val="Aptos Narrow"/>
        <family val="2"/>
        <scheme val="minor"/>
      </rPr>
      <t>3,621.63</t>
    </r>
    <r>
      <rPr>
        <sz val="12"/>
        <color theme="1"/>
        <rFont val="Aptos Narrow"/>
        <family val="2"/>
        <scheme val="minor"/>
      </rPr>
      <t>+10.8%</t>
    </r>
    <r>
      <rPr>
        <b/>
        <sz val="12"/>
        <color theme="1"/>
        <rFont val="Aptos Narrow"/>
        <family val="2"/>
        <scheme val="minor"/>
      </rPr>
      <t>December</t>
    </r>
    <r>
      <rPr>
        <sz val="12"/>
        <color theme="1"/>
        <rFont val="Aptos Narrow"/>
        <family val="2"/>
        <scheme val="minor"/>
      </rPr>
      <t>Dec 31, 2020</t>
    </r>
    <r>
      <rPr>
        <b/>
        <sz val="12"/>
        <color theme="1"/>
        <rFont val="Aptos Narrow"/>
        <family val="2"/>
        <scheme val="minor"/>
      </rPr>
      <t>3,756.07</t>
    </r>
    <r>
      <rPr>
        <sz val="12"/>
        <color theme="1"/>
        <rFont val="Aptos Narrow"/>
        <family val="2"/>
        <scheme val="minor"/>
      </rPr>
      <t>+3.7%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</si>
</sst>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53">
    <v t="i">2</v>
    <v t="i">8</v>
    <v t="i">15</v>
    <v t="i">22</v>
    <v t="i">29</v>
    <v t="i">36</v>
    <v t="i">43</v>
    <v t="i">50</v>
    <v t="i">57</v>
    <v t="i">64</v>
    <v t="i">71</v>
    <v t="i">78</v>
    <v t="i">85</v>
    <v t="i">92</v>
    <v t="i">100</v>
    <v t="i">106</v>
    <v t="i">113</v>
    <v t="i">120</v>
    <v t="i">127</v>
    <v t="i">134</v>
    <v t="i">141</v>
    <v t="i">148</v>
    <v t="i">155</v>
    <v t="i">162</v>
    <v t="i">170</v>
    <v t="i">176</v>
    <v t="i">183</v>
    <v t="i">190</v>
    <v t="i">197</v>
    <v t="i">204</v>
    <v t="i">211</v>
    <v t="i">218</v>
    <v t="i">225</v>
    <v t="i">232</v>
    <v t="i">239</v>
    <v t="i">246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367</v>
  </a>
  <a r="1" c="53">
    <v>0.38</v>
    <v>0.44</v>
    <v>0.64</v>
    <v>0.72</v>
    <v>0.63</v>
    <v>0.62</v>
    <v>0.65</v>
    <v>1.1499999999999999</v>
    <v>1.1000000000000001</v>
    <v>0.82</v>
    <v>0.81</v>
    <v>0.98</v>
    <v>0.89</v>
    <v>0.85</v>
    <v>0.88</v>
    <v>0.92</v>
    <v>0.85</v>
    <v>0.84</v>
    <v>0.63</v>
    <v>0.67</v>
    <v>0.66</v>
    <v>0.67</v>
    <v>0.61</v>
    <v>0.59</v>
    <v>0.6</v>
    <v>0.53</v>
    <v>0.53</v>
    <v>0.61</v>
    <v>-99999901</v>
    <v>0.62</v>
    <v>0.6</v>
    <v>0.68</v>
    <v>0.73</v>
    <v>0.66</v>
    <v>0.67</v>
    <v>0.67</v>
    <v>0.64</v>
    <v>0.61</v>
    <v>0.56000000000000005</v>
    <v>0.55000000000000004</v>
    <v>0.56999999999999995</v>
    <v>0.59</v>
    <v>0.64</v>
    <v>0.55000000000000004</v>
    <v>0.56999999999999995</v>
    <v>0.56000000000000005</v>
    <v>0.56999999999999995</v>
    <v>0.51</v>
    <v>0.5</v>
    <v>0.47</v>
    <v>0.47</v>
    <v>0.46</v>
    <v>0.52</v>
  </a>
</arrayData>
</file>

<file path=xl/richData/rdrichvalue.xml><?xml version="1.0" encoding="utf-8"?>
<rvData xmlns="http://schemas.microsoft.com/office/spreadsheetml/2017/richdata" count="88">
  <rv s="0">
    <fb>44194</fb>
    <v>0</v>
  </rv>
  <rv s="0">
    <fb>0.38</fb>
    <v>1</v>
  </rv>
  <rv s="0">
    <fb>44200</fb>
    <v>0</v>
  </rv>
  <rv s="0">
    <fb>0.44</fb>
    <v>1</v>
  </rv>
  <rv s="0">
    <fb>44207</fb>
    <v>0</v>
  </rv>
  <rv s="0">
    <fb>0.64</fb>
    <v>1</v>
  </rv>
  <rv s="0">
    <fb>44214</fb>
    <v>0</v>
  </rv>
  <rv s="0">
    <fb>0.72</fb>
    <v>1</v>
  </rv>
  <rv s="0">
    <fb>44221</fb>
    <v>0</v>
  </rv>
  <rv s="0">
    <fb>0.63</fb>
    <v>1</v>
  </rv>
  <rv s="0">
    <fb>44228</fb>
    <v>0</v>
  </rv>
  <rv s="0">
    <fb>0.62</fb>
    <v>1</v>
  </rv>
  <rv s="0">
    <fb>44235</fb>
    <v>0</v>
  </rv>
  <rv s="0">
    <fb>0.65</fb>
    <v>1</v>
  </rv>
  <rv s="0">
    <fb>44242</fb>
    <v>0</v>
  </rv>
  <rv s="0">
    <fb>1.1499999999999999</fb>
    <v>1</v>
  </rv>
  <rv s="0">
    <fb>44249</fb>
    <v>0</v>
  </rv>
  <rv s="0">
    <fb>1.1000000000000001</fb>
    <v>1</v>
  </rv>
  <rv s="0">
    <fb>44256</fb>
    <v>0</v>
  </rv>
  <rv s="0">
    <fb>0.82</fb>
    <v>1</v>
  </rv>
  <rv s="0">
    <fb>44263</fb>
    <v>0</v>
  </rv>
  <rv s="0">
    <fb>0.81</fb>
    <v>1</v>
  </rv>
  <rv s="0">
    <fb>44270</fb>
    <v>0</v>
  </rv>
  <rv s="0">
    <fb>0.98</fb>
    <v>1</v>
  </rv>
  <rv s="0">
    <fb>44277</fb>
    <v>0</v>
  </rv>
  <rv s="0">
    <fb>0.89</fb>
    <v>1</v>
  </rv>
  <rv s="0">
    <fb>44284</fb>
    <v>0</v>
  </rv>
  <rv s="0">
    <fb>0.85</fb>
    <v>1</v>
  </rv>
  <rv s="0">
    <fb>44292</fb>
    <v>0</v>
  </rv>
  <rv s="0">
    <fb>0.88</fb>
    <v>1</v>
  </rv>
  <rv s="0">
    <fb>44298</fb>
    <v>0</v>
  </rv>
  <rv s="0">
    <fb>0.92</fb>
    <v>1</v>
  </rv>
  <rv s="0">
    <fb>44305</fb>
    <v>0</v>
  </rv>
  <rv s="0">
    <fb>44312</fb>
    <v>0</v>
  </rv>
  <rv s="0">
    <fb>0.84</fb>
    <v>1</v>
  </rv>
  <rv s="0">
    <fb>44319</fb>
    <v>0</v>
  </rv>
  <rv s="0">
    <fb>44326</fb>
    <v>0</v>
  </rv>
  <rv s="0">
    <fb>0.67</fb>
    <v>1</v>
  </rv>
  <rv s="0">
    <fb>44333</fb>
    <v>0</v>
  </rv>
  <rv s="0">
    <fb>0.66</fb>
    <v>1</v>
  </rv>
  <rv s="0">
    <fb>44340</fb>
    <v>0</v>
  </rv>
  <rv s="0">
    <fb>44347</fb>
    <v>0</v>
  </rv>
  <rv s="0">
    <fb>0.61</fb>
    <v>1</v>
  </rv>
  <rv s="0">
    <fb>44354</fb>
    <v>0</v>
  </rv>
  <rv s="0">
    <fb>0.59</fb>
    <v>1</v>
  </rv>
  <rv s="0">
    <fb>44362</fb>
    <v>0</v>
  </rv>
  <rv s="0">
    <fb>0.6</fb>
    <v>1</v>
  </rv>
  <rv s="0">
    <fb>44368</fb>
    <v>0</v>
  </rv>
  <rv s="0">
    <fb>0.53</fb>
    <v>1</v>
  </rv>
  <rv s="0">
    <fb>44375</fb>
    <v>0</v>
  </rv>
  <rv s="0">
    <fb>44382</fb>
    <v>0</v>
  </rv>
  <rv s="0">
    <fb>44389</fb>
    <v>0</v>
  </rv>
  <rv s="1">
    <fb t="e">#N/A</fb>
    <v>6</v>
    <v>4</v>
  </rv>
  <rv s="0">
    <fb>44396</fb>
    <v>0</v>
  </rv>
  <rv s="0">
    <fb>44403</fb>
    <v>0</v>
  </rv>
  <rv s="0">
    <fb>44410</fb>
    <v>0</v>
  </rv>
  <rv s="0">
    <fb>0.68</fb>
    <v>1</v>
  </rv>
  <rv s="0">
    <fb>44417</fb>
    <v>0</v>
  </rv>
  <rv s="0">
    <fb>0.73</fb>
    <v>1</v>
  </rv>
  <rv s="0">
    <fb>44424</fb>
    <v>0</v>
  </rv>
  <rv s="0">
    <fb>44431</fb>
    <v>0</v>
  </rv>
  <rv s="0">
    <fb>44438</fb>
    <v>0</v>
  </rv>
  <rv s="0">
    <fb>44445</fb>
    <v>0</v>
  </rv>
  <rv s="0">
    <fb>44452</fb>
    <v>0</v>
  </rv>
  <rv s="0">
    <fb>44459</fb>
    <v>0</v>
  </rv>
  <rv s="0">
    <fb>0.56000000000000005</fb>
    <v>1</v>
  </rv>
  <rv s="0">
    <fb>44466</fb>
    <v>0</v>
  </rv>
  <rv s="0">
    <fb>0.55000000000000004</fb>
    <v>1</v>
  </rv>
  <rv s="0">
    <fb>44473</fb>
    <v>0</v>
  </rv>
  <rv s="0">
    <fb>0.56999999999999995</fb>
    <v>1</v>
  </rv>
  <rv s="0">
    <fb>44480</fb>
    <v>0</v>
  </rv>
  <rv s="0">
    <fb>44487</fb>
    <v>0</v>
  </rv>
  <rv s="0">
    <fb>44494</fb>
    <v>0</v>
  </rv>
  <rv s="0">
    <fb>44501</fb>
    <v>0</v>
  </rv>
  <rv s="0">
    <fb>44508</fb>
    <v>0</v>
  </rv>
  <rv s="0">
    <fb>44515</fb>
    <v>0</v>
  </rv>
  <rv s="0">
    <fb>44522</fb>
    <v>0</v>
  </rv>
  <rv s="0">
    <fb>0.51</fb>
    <v>1</v>
  </rv>
  <rv s="0">
    <fb>44529</fb>
    <v>0</v>
  </rv>
  <rv s="0">
    <fb>0.5</fb>
    <v>1</v>
  </rv>
  <rv s="0">
    <fb>44536</fb>
    <v>0</v>
  </rv>
  <rv s="0">
    <fb>0.47</fb>
    <v>1</v>
  </rv>
  <rv s="0">
    <fb>44543</fb>
    <v>0</v>
  </rv>
  <rv s="0">
    <fb>44550</fb>
    <v>0</v>
  </rv>
  <rv s="0">
    <fb>0.46</fb>
    <v>1</v>
  </rv>
  <rv s="0">
    <fb>44559</fb>
    <v>0</v>
  </rv>
  <rv s="0">
    <fb>0.52</fb>
    <v>1</v>
  </rv>
  <rv s="2">
    <v>2</v>
    <v>SPX</v>
    <v>Weekly</v>
    <v>44192</v>
    <v>44562</v>
    <v>0</v>
    <v>1</v>
    <v>637765056000000000,639045208006870846,0</v>
    <v>0</v>
    <v>awsckr</v>
    <v>XASX:SPX</v>
    <v>1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error">
    <k n="errorType" t="i"/>
    <k n="sub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0"/>
    <rSty dxfid="1">
      <rpv i="0">_([$$-en-AU]* #,##0.00_);_([$$-en-AU]* (#,##0.00);_([$$-en-AU]*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A0B7-0620-8840-B3F1-0421599929CE}">
  <dimension ref="A1:I72"/>
  <sheetViews>
    <sheetView tabSelected="1" workbookViewId="0">
      <selection activeCell="L17" sqref="L17"/>
    </sheetView>
  </sheetViews>
  <sheetFormatPr baseColWidth="10" defaultRowHeight="16" x14ac:dyDescent="0.2"/>
  <sheetData>
    <row r="1" spans="1:6" x14ac:dyDescent="0.2">
      <c r="A1" s="1">
        <v>2020</v>
      </c>
      <c r="B1" s="2" t="s">
        <v>11</v>
      </c>
      <c r="C1" s="2">
        <v>1</v>
      </c>
      <c r="D1" s="3">
        <v>3225.52</v>
      </c>
      <c r="E1" t="str">
        <f>C1&amp;"/"&amp;1&amp;"/"&amp;A1</f>
        <v>1/1/2020</v>
      </c>
      <c r="F1" s="5">
        <f>EOMONTH(E1,0)</f>
        <v>43861</v>
      </c>
    </row>
    <row r="2" spans="1:6" x14ac:dyDescent="0.2">
      <c r="A2" s="1">
        <v>2020</v>
      </c>
      <c r="B2" s="2" t="s">
        <v>10</v>
      </c>
      <c r="C2" s="2">
        <f>C1+1</f>
        <v>2</v>
      </c>
      <c r="D2" s="3">
        <v>2954.22</v>
      </c>
      <c r="E2" t="str">
        <f>C2&amp;"/"&amp;1&amp;"/"&amp;A2</f>
        <v>2/1/2020</v>
      </c>
      <c r="F2" s="5">
        <f>EOMONTH(E2,0)</f>
        <v>43890</v>
      </c>
    </row>
    <row r="3" spans="1:6" x14ac:dyDescent="0.2">
      <c r="A3" s="1">
        <v>2020</v>
      </c>
      <c r="B3" s="2" t="s">
        <v>9</v>
      </c>
      <c r="C3" s="2">
        <f>C2+1</f>
        <v>3</v>
      </c>
      <c r="D3" s="3">
        <v>2584.59</v>
      </c>
      <c r="E3" t="str">
        <f>C3&amp;"/"&amp;1&amp;"/"&amp;A3</f>
        <v>3/1/2020</v>
      </c>
      <c r="F3" s="5">
        <f>EOMONTH(E3,0)</f>
        <v>43921</v>
      </c>
    </row>
    <row r="4" spans="1:6" x14ac:dyDescent="0.2">
      <c r="A4" s="1">
        <v>2020</v>
      </c>
      <c r="B4" s="2" t="s">
        <v>8</v>
      </c>
      <c r="C4" s="2">
        <f>C3+1</f>
        <v>4</v>
      </c>
      <c r="D4" s="3">
        <v>2912.43</v>
      </c>
      <c r="E4" t="str">
        <f>C4&amp;"/"&amp;1&amp;"/"&amp;A4</f>
        <v>4/1/2020</v>
      </c>
      <c r="F4" s="5">
        <f>EOMONTH(E4,0)</f>
        <v>43951</v>
      </c>
    </row>
    <row r="5" spans="1:6" x14ac:dyDescent="0.2">
      <c r="A5" s="1">
        <v>2020</v>
      </c>
      <c r="B5" s="2" t="s">
        <v>7</v>
      </c>
      <c r="C5" s="2">
        <f>C4+1</f>
        <v>5</v>
      </c>
      <c r="D5" s="3">
        <v>3044.31</v>
      </c>
      <c r="E5" t="str">
        <f>C5&amp;"/"&amp;1&amp;"/"&amp;A5</f>
        <v>5/1/2020</v>
      </c>
      <c r="F5" s="5">
        <f>EOMONTH(E5,0)</f>
        <v>43982</v>
      </c>
    </row>
    <row r="6" spans="1:6" x14ac:dyDescent="0.2">
      <c r="A6" s="1">
        <v>2020</v>
      </c>
      <c r="B6" s="2" t="s">
        <v>6</v>
      </c>
      <c r="C6" s="2">
        <f>C5+1</f>
        <v>6</v>
      </c>
      <c r="D6" s="3">
        <v>3100.29</v>
      </c>
      <c r="E6" t="str">
        <f>C6&amp;"/"&amp;1&amp;"/"&amp;A6</f>
        <v>6/1/2020</v>
      </c>
      <c r="F6" s="5">
        <f>EOMONTH(E6,0)</f>
        <v>44012</v>
      </c>
    </row>
    <row r="7" spans="1:6" x14ac:dyDescent="0.2">
      <c r="A7" s="1">
        <v>2020</v>
      </c>
      <c r="B7" s="2" t="s">
        <v>5</v>
      </c>
      <c r="C7" s="2">
        <f>C6+1</f>
        <v>7</v>
      </c>
      <c r="D7" s="3">
        <v>3271.12</v>
      </c>
      <c r="E7" t="str">
        <f>C7&amp;"/"&amp;1&amp;"/"&amp;A7</f>
        <v>7/1/2020</v>
      </c>
      <c r="F7" s="5">
        <f>EOMONTH(E7,0)</f>
        <v>44043</v>
      </c>
    </row>
    <row r="8" spans="1:6" x14ac:dyDescent="0.2">
      <c r="A8" s="1">
        <v>2020</v>
      </c>
      <c r="B8" s="2" t="s">
        <v>4</v>
      </c>
      <c r="C8" s="2">
        <f>C7+1</f>
        <v>8</v>
      </c>
      <c r="D8" s="3">
        <v>3500.31</v>
      </c>
      <c r="E8" t="str">
        <f>C8&amp;"/"&amp;1&amp;"/"&amp;A8</f>
        <v>8/1/2020</v>
      </c>
      <c r="F8" s="5">
        <f>EOMONTH(E8,0)</f>
        <v>44074</v>
      </c>
    </row>
    <row r="9" spans="1:6" x14ac:dyDescent="0.2">
      <c r="A9" s="1">
        <v>2020</v>
      </c>
      <c r="B9" s="2" t="s">
        <v>3</v>
      </c>
      <c r="C9" s="2">
        <f>C8+1</f>
        <v>9</v>
      </c>
      <c r="D9" s="3">
        <v>3363</v>
      </c>
      <c r="E9" t="str">
        <f>C9&amp;"/"&amp;1&amp;"/"&amp;A9</f>
        <v>9/1/2020</v>
      </c>
      <c r="F9" s="5">
        <f>EOMONTH(E9,0)</f>
        <v>44104</v>
      </c>
    </row>
    <row r="10" spans="1:6" x14ac:dyDescent="0.2">
      <c r="A10" s="1">
        <v>2020</v>
      </c>
      <c r="B10" s="2" t="s">
        <v>2</v>
      </c>
      <c r="C10" s="2">
        <f>C9+1</f>
        <v>10</v>
      </c>
      <c r="D10" s="3">
        <v>3269.96</v>
      </c>
      <c r="E10" t="str">
        <f>C10&amp;"/"&amp;1&amp;"/"&amp;A10</f>
        <v>10/1/2020</v>
      </c>
      <c r="F10" s="5">
        <f>EOMONTH(E10,0)</f>
        <v>44135</v>
      </c>
    </row>
    <row r="11" spans="1:6" x14ac:dyDescent="0.2">
      <c r="A11" s="1">
        <v>2020</v>
      </c>
      <c r="B11" s="2" t="s">
        <v>1</v>
      </c>
      <c r="C11" s="2">
        <f>C10+1</f>
        <v>11</v>
      </c>
      <c r="D11" s="3">
        <v>3621.63</v>
      </c>
      <c r="E11" t="str">
        <f>C11&amp;"/"&amp;1&amp;"/"&amp;A11</f>
        <v>11/1/2020</v>
      </c>
      <c r="F11" s="5">
        <f>EOMONTH(E11,0)</f>
        <v>44165</v>
      </c>
    </row>
    <row r="12" spans="1:6" x14ac:dyDescent="0.2">
      <c r="A12" s="1">
        <v>2020</v>
      </c>
      <c r="B12" s="2" t="s">
        <v>0</v>
      </c>
      <c r="C12" s="2">
        <f>C11+1</f>
        <v>12</v>
      </c>
      <c r="D12" s="3">
        <v>3756.07</v>
      </c>
      <c r="E12" t="str">
        <f>C12&amp;"/"&amp;1&amp;"/"&amp;A12</f>
        <v>12/1/2020</v>
      </c>
      <c r="F12" s="5">
        <f>EOMONTH(E12,0)</f>
        <v>44196</v>
      </c>
    </row>
    <row r="13" spans="1:6" x14ac:dyDescent="0.2">
      <c r="A13" s="1">
        <v>2021</v>
      </c>
      <c r="B13" s="2" t="s">
        <v>11</v>
      </c>
      <c r="C13" s="2">
        <v>1</v>
      </c>
      <c r="D13" s="4">
        <v>3714.24</v>
      </c>
      <c r="E13" t="str">
        <f>C13&amp;"/"&amp;1&amp;"/"&amp;A13</f>
        <v>1/1/2021</v>
      </c>
      <c r="F13" s="5">
        <f>EOMONTH(E13,0)</f>
        <v>44227</v>
      </c>
    </row>
    <row r="14" spans="1:6" x14ac:dyDescent="0.2">
      <c r="A14" s="1">
        <v>2021</v>
      </c>
      <c r="B14" s="2" t="s">
        <v>10</v>
      </c>
      <c r="C14" s="2">
        <f>C13+1</f>
        <v>2</v>
      </c>
      <c r="D14" s="4">
        <v>3811.15</v>
      </c>
      <c r="E14" t="str">
        <f>C14&amp;"/"&amp;1&amp;"/"&amp;A14</f>
        <v>2/1/2021</v>
      </c>
      <c r="F14" s="5">
        <f>EOMONTH(E14,0)</f>
        <v>44255</v>
      </c>
    </row>
    <row r="15" spans="1:6" x14ac:dyDescent="0.2">
      <c r="A15" s="1">
        <v>2021</v>
      </c>
      <c r="B15" s="2" t="s">
        <v>9</v>
      </c>
      <c r="C15" s="2">
        <f>C14+1</f>
        <v>3</v>
      </c>
      <c r="D15" s="4">
        <v>3972.89</v>
      </c>
      <c r="E15" t="str">
        <f>C15&amp;"/"&amp;1&amp;"/"&amp;A15</f>
        <v>3/1/2021</v>
      </c>
      <c r="F15" s="5">
        <f>EOMONTH(E15,0)</f>
        <v>44286</v>
      </c>
    </row>
    <row r="16" spans="1:6" x14ac:dyDescent="0.2">
      <c r="A16" s="1">
        <v>2021</v>
      </c>
      <c r="B16" s="2" t="s">
        <v>8</v>
      </c>
      <c r="C16" s="2">
        <f>C15+1</f>
        <v>4</v>
      </c>
      <c r="D16" s="4">
        <v>4181.17</v>
      </c>
      <c r="E16" t="str">
        <f>C16&amp;"/"&amp;1&amp;"/"&amp;A16</f>
        <v>4/1/2021</v>
      </c>
      <c r="F16" s="5">
        <f>EOMONTH(E16,0)</f>
        <v>44316</v>
      </c>
    </row>
    <row r="17" spans="1:6" x14ac:dyDescent="0.2">
      <c r="A17" s="1">
        <v>2021</v>
      </c>
      <c r="B17" s="2" t="s">
        <v>7</v>
      </c>
      <c r="C17" s="2">
        <f>C16+1</f>
        <v>5</v>
      </c>
      <c r="D17" s="4">
        <v>4204.1099999999997</v>
      </c>
      <c r="E17" t="str">
        <f>C17&amp;"/"&amp;1&amp;"/"&amp;A17</f>
        <v>5/1/2021</v>
      </c>
      <c r="F17" s="5">
        <f>EOMONTH(E17,0)</f>
        <v>44347</v>
      </c>
    </row>
    <row r="18" spans="1:6" x14ac:dyDescent="0.2">
      <c r="A18" s="1">
        <v>2021</v>
      </c>
      <c r="B18" s="2" t="s">
        <v>6</v>
      </c>
      <c r="C18" s="2">
        <f>C17+1</f>
        <v>6</v>
      </c>
      <c r="D18" s="4">
        <v>4297.5</v>
      </c>
      <c r="E18" t="str">
        <f>C18&amp;"/"&amp;1&amp;"/"&amp;A18</f>
        <v>6/1/2021</v>
      </c>
      <c r="F18" s="5">
        <f>EOMONTH(E18,0)</f>
        <v>44377</v>
      </c>
    </row>
    <row r="19" spans="1:6" x14ac:dyDescent="0.2">
      <c r="A19" s="1">
        <v>2021</v>
      </c>
      <c r="B19" s="2" t="s">
        <v>5</v>
      </c>
      <c r="C19" s="2">
        <f>C18+1</f>
        <v>7</v>
      </c>
      <c r="D19" s="4">
        <v>4395.26</v>
      </c>
      <c r="E19" t="str">
        <f>C19&amp;"/"&amp;1&amp;"/"&amp;A19</f>
        <v>7/1/2021</v>
      </c>
      <c r="F19" s="5">
        <f>EOMONTH(E19,0)</f>
        <v>44408</v>
      </c>
    </row>
    <row r="20" spans="1:6" x14ac:dyDescent="0.2">
      <c r="A20" s="1">
        <v>2021</v>
      </c>
      <c r="B20" s="2" t="s">
        <v>4</v>
      </c>
      <c r="C20" s="2">
        <f>C19+1</f>
        <v>8</v>
      </c>
      <c r="D20" s="4">
        <v>4522.68</v>
      </c>
      <c r="E20" t="str">
        <f>C20&amp;"/"&amp;1&amp;"/"&amp;A20</f>
        <v>8/1/2021</v>
      </c>
      <c r="F20" s="5">
        <f>EOMONTH(E20,0)</f>
        <v>44439</v>
      </c>
    </row>
    <row r="21" spans="1:6" x14ac:dyDescent="0.2">
      <c r="A21" s="1">
        <v>2021</v>
      </c>
      <c r="B21" s="2" t="s">
        <v>3</v>
      </c>
      <c r="C21" s="2">
        <f>C20+1</f>
        <v>9</v>
      </c>
      <c r="D21" s="4">
        <v>4307.54</v>
      </c>
      <c r="E21" t="str">
        <f>C21&amp;"/"&amp;1&amp;"/"&amp;A21</f>
        <v>9/1/2021</v>
      </c>
      <c r="F21" s="5">
        <f>EOMONTH(E21,0)</f>
        <v>44469</v>
      </c>
    </row>
    <row r="22" spans="1:6" x14ac:dyDescent="0.2">
      <c r="A22" s="1">
        <v>2021</v>
      </c>
      <c r="B22" s="2" t="s">
        <v>2</v>
      </c>
      <c r="C22" s="2">
        <f>C21+1</f>
        <v>10</v>
      </c>
      <c r="D22" s="4">
        <v>4605.38</v>
      </c>
      <c r="E22" t="str">
        <f>C22&amp;"/"&amp;1&amp;"/"&amp;A22</f>
        <v>10/1/2021</v>
      </c>
      <c r="F22" s="5">
        <f>EOMONTH(E22,0)</f>
        <v>44500</v>
      </c>
    </row>
    <row r="23" spans="1:6" x14ac:dyDescent="0.2">
      <c r="A23" s="1">
        <v>2021</v>
      </c>
      <c r="B23" s="2" t="s">
        <v>1</v>
      </c>
      <c r="C23" s="2">
        <f>C22+1</f>
        <v>11</v>
      </c>
      <c r="D23" s="4">
        <v>4567</v>
      </c>
      <c r="E23" t="str">
        <f>C23&amp;"/"&amp;1&amp;"/"&amp;A23</f>
        <v>11/1/2021</v>
      </c>
      <c r="F23" s="5">
        <f>EOMONTH(E23,0)</f>
        <v>44530</v>
      </c>
    </row>
    <row r="24" spans="1:6" x14ac:dyDescent="0.2">
      <c r="A24" s="1">
        <v>2021</v>
      </c>
      <c r="B24" s="2" t="s">
        <v>0</v>
      </c>
      <c r="C24" s="2">
        <f>C23+1</f>
        <v>12</v>
      </c>
      <c r="D24" s="4">
        <v>4766.18</v>
      </c>
      <c r="E24" t="str">
        <f>C24&amp;"/"&amp;1&amp;"/"&amp;A24</f>
        <v>12/1/2021</v>
      </c>
      <c r="F24" s="5">
        <f>EOMONTH(E24,0)</f>
        <v>44561</v>
      </c>
    </row>
    <row r="25" spans="1:6" x14ac:dyDescent="0.2">
      <c r="A25" s="1">
        <v>2022</v>
      </c>
      <c r="B25" s="2" t="s">
        <v>11</v>
      </c>
      <c r="C25" s="2">
        <v>1</v>
      </c>
      <c r="D25" s="4">
        <v>4515.55</v>
      </c>
      <c r="E25" t="str">
        <f>C25&amp;"/"&amp;1&amp;"/"&amp;A25</f>
        <v>1/1/2022</v>
      </c>
      <c r="F25" s="5">
        <f>EOMONTH(E25,0)</f>
        <v>44592</v>
      </c>
    </row>
    <row r="26" spans="1:6" x14ac:dyDescent="0.2">
      <c r="A26" s="1">
        <v>2022</v>
      </c>
      <c r="B26" s="2" t="s">
        <v>10</v>
      </c>
      <c r="C26" s="2">
        <f>C25+1</f>
        <v>2</v>
      </c>
      <c r="D26" s="4">
        <v>4373.9399999999996</v>
      </c>
      <c r="E26" t="str">
        <f>C26&amp;"/"&amp;1&amp;"/"&amp;A26</f>
        <v>2/1/2022</v>
      </c>
      <c r="F26" s="5">
        <f>EOMONTH(E26,0)</f>
        <v>44620</v>
      </c>
    </row>
    <row r="27" spans="1:6" x14ac:dyDescent="0.2">
      <c r="A27" s="1">
        <v>2022</v>
      </c>
      <c r="B27" s="2" t="s">
        <v>9</v>
      </c>
      <c r="C27" s="2">
        <f>C26+1</f>
        <v>3</v>
      </c>
      <c r="D27" s="4">
        <v>4530.41</v>
      </c>
      <c r="E27" t="str">
        <f>C27&amp;"/"&amp;1&amp;"/"&amp;A27</f>
        <v>3/1/2022</v>
      </c>
      <c r="F27" s="5">
        <f>EOMONTH(E27,0)</f>
        <v>44651</v>
      </c>
    </row>
    <row r="28" spans="1:6" x14ac:dyDescent="0.2">
      <c r="A28" s="1">
        <v>2022</v>
      </c>
      <c r="B28" s="2" t="s">
        <v>8</v>
      </c>
      <c r="C28" s="2">
        <f>C27+1</f>
        <v>4</v>
      </c>
      <c r="D28" s="4">
        <v>4131.93</v>
      </c>
      <c r="E28" t="str">
        <f>C28&amp;"/"&amp;1&amp;"/"&amp;A28</f>
        <v>4/1/2022</v>
      </c>
      <c r="F28" s="5">
        <f>EOMONTH(E28,0)</f>
        <v>44681</v>
      </c>
    </row>
    <row r="29" spans="1:6" x14ac:dyDescent="0.2">
      <c r="A29" s="1">
        <v>2022</v>
      </c>
      <c r="B29" s="2" t="s">
        <v>7</v>
      </c>
      <c r="C29" s="2">
        <f>C28+1</f>
        <v>5</v>
      </c>
      <c r="D29" s="4">
        <v>4132.1499999999996</v>
      </c>
      <c r="E29" t="str">
        <f>C29&amp;"/"&amp;1&amp;"/"&amp;A29</f>
        <v>5/1/2022</v>
      </c>
      <c r="F29" s="5">
        <f>EOMONTH(E29,0)</f>
        <v>44712</v>
      </c>
    </row>
    <row r="30" spans="1:6" x14ac:dyDescent="0.2">
      <c r="A30" s="1">
        <v>2022</v>
      </c>
      <c r="B30" s="2" t="s">
        <v>6</v>
      </c>
      <c r="C30" s="2">
        <f>C29+1</f>
        <v>6</v>
      </c>
      <c r="D30" s="4">
        <v>3785.38</v>
      </c>
      <c r="E30" t="str">
        <f>C30&amp;"/"&amp;1&amp;"/"&amp;A30</f>
        <v>6/1/2022</v>
      </c>
      <c r="F30" s="5">
        <f>EOMONTH(E30,0)</f>
        <v>44742</v>
      </c>
    </row>
    <row r="31" spans="1:6" x14ac:dyDescent="0.2">
      <c r="A31" s="1">
        <v>2022</v>
      </c>
      <c r="B31" s="2" t="s">
        <v>5</v>
      </c>
      <c r="C31" s="2">
        <f>C30+1</f>
        <v>7</v>
      </c>
      <c r="D31" s="4">
        <v>4130.29</v>
      </c>
      <c r="E31" t="str">
        <f>C31&amp;"/"&amp;1&amp;"/"&amp;A31</f>
        <v>7/1/2022</v>
      </c>
      <c r="F31" s="5">
        <f>EOMONTH(E31,0)</f>
        <v>44773</v>
      </c>
    </row>
    <row r="32" spans="1:6" x14ac:dyDescent="0.2">
      <c r="A32" s="1">
        <v>2022</v>
      </c>
      <c r="B32" s="2" t="s">
        <v>4</v>
      </c>
      <c r="C32" s="2">
        <f>C31+1</f>
        <v>8</v>
      </c>
      <c r="D32" s="4">
        <v>3955</v>
      </c>
      <c r="E32" t="str">
        <f>C32&amp;"/"&amp;1&amp;"/"&amp;A32</f>
        <v>8/1/2022</v>
      </c>
      <c r="F32" s="5">
        <f>EOMONTH(E32,0)</f>
        <v>44804</v>
      </c>
    </row>
    <row r="33" spans="1:6" x14ac:dyDescent="0.2">
      <c r="A33" s="1">
        <v>2022</v>
      </c>
      <c r="B33" s="2" t="s">
        <v>3</v>
      </c>
      <c r="C33" s="2">
        <f>C32+1</f>
        <v>9</v>
      </c>
      <c r="D33" s="4">
        <v>3585.62</v>
      </c>
      <c r="E33" t="str">
        <f>C33&amp;"/"&amp;1&amp;"/"&amp;A33</f>
        <v>9/1/2022</v>
      </c>
      <c r="F33" s="5">
        <f>EOMONTH(E33,0)</f>
        <v>44834</v>
      </c>
    </row>
    <row r="34" spans="1:6" x14ac:dyDescent="0.2">
      <c r="A34" s="1">
        <v>2022</v>
      </c>
      <c r="B34" s="2" t="s">
        <v>2</v>
      </c>
      <c r="C34" s="2">
        <f>C33+1</f>
        <v>10</v>
      </c>
      <c r="D34" s="4">
        <v>3871.98</v>
      </c>
      <c r="E34" t="str">
        <f>C34&amp;"/"&amp;1&amp;"/"&amp;A34</f>
        <v>10/1/2022</v>
      </c>
      <c r="F34" s="5">
        <f>EOMONTH(E34,0)</f>
        <v>44865</v>
      </c>
    </row>
    <row r="35" spans="1:6" x14ac:dyDescent="0.2">
      <c r="A35" s="1">
        <v>2022</v>
      </c>
      <c r="B35" s="2" t="s">
        <v>1</v>
      </c>
      <c r="C35" s="2">
        <f>C34+1</f>
        <v>11</v>
      </c>
      <c r="D35" s="4">
        <v>4080.11</v>
      </c>
      <c r="E35" t="str">
        <f>C35&amp;"/"&amp;1&amp;"/"&amp;A35</f>
        <v>11/1/2022</v>
      </c>
      <c r="F35" s="5">
        <f>EOMONTH(E35,0)</f>
        <v>44895</v>
      </c>
    </row>
    <row r="36" spans="1:6" x14ac:dyDescent="0.2">
      <c r="A36" s="1">
        <v>2022</v>
      </c>
      <c r="B36" s="2" t="s">
        <v>0</v>
      </c>
      <c r="C36" s="2">
        <f>C35+1</f>
        <v>12</v>
      </c>
      <c r="D36" s="4">
        <v>3839.5</v>
      </c>
      <c r="E36" t="str">
        <f>C36&amp;"/"&amp;1&amp;"/"&amp;A36</f>
        <v>12/1/2022</v>
      </c>
      <c r="F36" s="5">
        <f>EOMONTH(E36,0)</f>
        <v>44926</v>
      </c>
    </row>
    <row r="37" spans="1:6" x14ac:dyDescent="0.2">
      <c r="A37" s="1">
        <v>2023</v>
      </c>
      <c r="B37" s="2" t="s">
        <v>11</v>
      </c>
      <c r="C37" s="2">
        <v>1</v>
      </c>
      <c r="D37" s="4">
        <v>4076.6</v>
      </c>
      <c r="E37" t="str">
        <f>C37&amp;"/"&amp;1&amp;"/"&amp;A37</f>
        <v>1/1/2023</v>
      </c>
      <c r="F37" s="5">
        <f>EOMONTH(E37,0)</f>
        <v>44957</v>
      </c>
    </row>
    <row r="38" spans="1:6" x14ac:dyDescent="0.2">
      <c r="A38" s="1">
        <v>2023</v>
      </c>
      <c r="B38" s="2" t="s">
        <v>10</v>
      </c>
      <c r="C38" s="2">
        <f>C37+1</f>
        <v>2</v>
      </c>
      <c r="D38" s="4">
        <v>3970.15</v>
      </c>
      <c r="E38" t="str">
        <f>C38&amp;"/"&amp;1&amp;"/"&amp;A38</f>
        <v>2/1/2023</v>
      </c>
      <c r="F38" s="5">
        <f>EOMONTH(E38,0)</f>
        <v>44985</v>
      </c>
    </row>
    <row r="39" spans="1:6" x14ac:dyDescent="0.2">
      <c r="A39" s="1">
        <v>2023</v>
      </c>
      <c r="B39" s="2" t="s">
        <v>9</v>
      </c>
      <c r="C39" s="2">
        <f>C38+1</f>
        <v>3</v>
      </c>
      <c r="D39" s="4">
        <v>4109.3100000000004</v>
      </c>
      <c r="E39" t="str">
        <f>C39&amp;"/"&amp;1&amp;"/"&amp;A39</f>
        <v>3/1/2023</v>
      </c>
      <c r="F39" s="5">
        <f>EOMONTH(E39,0)</f>
        <v>45016</v>
      </c>
    </row>
    <row r="40" spans="1:6" x14ac:dyDescent="0.2">
      <c r="A40" s="1">
        <v>2023</v>
      </c>
      <c r="B40" s="2" t="s">
        <v>8</v>
      </c>
      <c r="C40" s="2">
        <f>C39+1</f>
        <v>4</v>
      </c>
      <c r="D40" s="4">
        <v>4169.4799999999996</v>
      </c>
      <c r="E40" t="str">
        <f>C40&amp;"/"&amp;1&amp;"/"&amp;A40</f>
        <v>4/1/2023</v>
      </c>
      <c r="F40" s="5">
        <f>EOMONTH(E40,0)</f>
        <v>45046</v>
      </c>
    </row>
    <row r="41" spans="1:6" x14ac:dyDescent="0.2">
      <c r="A41" s="1">
        <v>2023</v>
      </c>
      <c r="B41" s="2" t="s">
        <v>7</v>
      </c>
      <c r="C41" s="2">
        <f>C40+1</f>
        <v>5</v>
      </c>
      <c r="D41" s="4">
        <v>4179.83</v>
      </c>
      <c r="E41" t="str">
        <f>C41&amp;"/"&amp;1&amp;"/"&amp;A41</f>
        <v>5/1/2023</v>
      </c>
      <c r="F41" s="5">
        <f>EOMONTH(E41,0)</f>
        <v>45077</v>
      </c>
    </row>
    <row r="42" spans="1:6" x14ac:dyDescent="0.2">
      <c r="A42" s="1">
        <v>2023</v>
      </c>
      <c r="B42" s="2" t="s">
        <v>6</v>
      </c>
      <c r="C42" s="2">
        <f>C41+1</f>
        <v>6</v>
      </c>
      <c r="D42" s="4">
        <v>4450.38</v>
      </c>
      <c r="E42" t="str">
        <f>C42&amp;"/"&amp;1&amp;"/"&amp;A42</f>
        <v>6/1/2023</v>
      </c>
      <c r="F42" s="5">
        <f>EOMONTH(E42,0)</f>
        <v>45107</v>
      </c>
    </row>
    <row r="43" spans="1:6" x14ac:dyDescent="0.2">
      <c r="A43" s="1">
        <v>2023</v>
      </c>
      <c r="B43" s="2" t="s">
        <v>5</v>
      </c>
      <c r="C43" s="2">
        <f>C42+1</f>
        <v>7</v>
      </c>
      <c r="D43" s="4">
        <v>4588.96</v>
      </c>
      <c r="E43" t="str">
        <f>C43&amp;"/"&amp;1&amp;"/"&amp;A43</f>
        <v>7/1/2023</v>
      </c>
      <c r="F43" s="5">
        <f>EOMONTH(E43,0)</f>
        <v>45138</v>
      </c>
    </row>
    <row r="44" spans="1:6" x14ac:dyDescent="0.2">
      <c r="A44" s="1">
        <v>2023</v>
      </c>
      <c r="B44" s="2" t="s">
        <v>4</v>
      </c>
      <c r="C44" s="2">
        <f>C43+1</f>
        <v>8</v>
      </c>
      <c r="D44" s="4">
        <v>4507.66</v>
      </c>
      <c r="E44" t="str">
        <f>C44&amp;"/"&amp;1&amp;"/"&amp;A44</f>
        <v>8/1/2023</v>
      </c>
      <c r="F44" s="5">
        <f>EOMONTH(E44,0)</f>
        <v>45169</v>
      </c>
    </row>
    <row r="45" spans="1:6" x14ac:dyDescent="0.2">
      <c r="A45" s="1">
        <v>2023</v>
      </c>
      <c r="B45" s="2" t="s">
        <v>3</v>
      </c>
      <c r="C45" s="2">
        <f>C44+1</f>
        <v>9</v>
      </c>
      <c r="D45" s="4">
        <v>4288.05</v>
      </c>
      <c r="E45" t="str">
        <f>C45&amp;"/"&amp;1&amp;"/"&amp;A45</f>
        <v>9/1/2023</v>
      </c>
      <c r="F45" s="5">
        <f>EOMONTH(E45,0)</f>
        <v>45199</v>
      </c>
    </row>
    <row r="46" spans="1:6" x14ac:dyDescent="0.2">
      <c r="A46" s="1">
        <v>2023</v>
      </c>
      <c r="B46" s="2" t="s">
        <v>2</v>
      </c>
      <c r="C46" s="2">
        <f>C45+1</f>
        <v>10</v>
      </c>
      <c r="D46" s="4">
        <v>4193.8</v>
      </c>
      <c r="E46" t="str">
        <f>C46&amp;"/"&amp;1&amp;"/"&amp;A46</f>
        <v>10/1/2023</v>
      </c>
      <c r="F46" s="5">
        <f>EOMONTH(E46,0)</f>
        <v>45230</v>
      </c>
    </row>
    <row r="47" spans="1:6" x14ac:dyDescent="0.2">
      <c r="A47" s="1">
        <v>2023</v>
      </c>
      <c r="B47" s="2" t="s">
        <v>1</v>
      </c>
      <c r="C47" s="2">
        <f>C46+1</f>
        <v>11</v>
      </c>
      <c r="D47" s="4">
        <v>4567.8</v>
      </c>
      <c r="E47" t="str">
        <f>C47&amp;"/"&amp;1&amp;"/"&amp;A47</f>
        <v>11/1/2023</v>
      </c>
      <c r="F47" s="5">
        <f>EOMONTH(E47,0)</f>
        <v>45260</v>
      </c>
    </row>
    <row r="48" spans="1:6" x14ac:dyDescent="0.2">
      <c r="A48" s="1">
        <v>2023</v>
      </c>
      <c r="B48" s="2" t="s">
        <v>0</v>
      </c>
      <c r="C48" s="2">
        <f>C47+1</f>
        <v>12</v>
      </c>
      <c r="D48" s="4">
        <v>4769.83</v>
      </c>
      <c r="E48" t="str">
        <f>C48&amp;"/"&amp;1&amp;"/"&amp;A48</f>
        <v>12/1/2023</v>
      </c>
      <c r="F48" s="5">
        <f>EOMONTH(E48,0)</f>
        <v>45291</v>
      </c>
    </row>
    <row r="49" spans="1:9" x14ac:dyDescent="0.2">
      <c r="A49" s="1">
        <v>2024</v>
      </c>
      <c r="B49" s="2" t="s">
        <v>11</v>
      </c>
      <c r="C49" s="2">
        <v>1</v>
      </c>
      <c r="D49" s="4">
        <v>4845.6499999999996</v>
      </c>
      <c r="E49" t="str">
        <f>C49&amp;"/"&amp;1&amp;"/"&amp;A49</f>
        <v>1/1/2024</v>
      </c>
      <c r="F49" s="5">
        <f>EOMONTH(E49,0)</f>
        <v>45322</v>
      </c>
    </row>
    <row r="50" spans="1:9" x14ac:dyDescent="0.2">
      <c r="A50" s="1">
        <v>2024</v>
      </c>
      <c r="B50" s="2" t="s">
        <v>10</v>
      </c>
      <c r="C50" s="2">
        <f>C49+1</f>
        <v>2</v>
      </c>
      <c r="D50" s="4">
        <v>5096.2700000000004</v>
      </c>
      <c r="E50" t="str">
        <f>C50&amp;"/"&amp;1&amp;"/"&amp;A50</f>
        <v>2/1/2024</v>
      </c>
      <c r="F50" s="5">
        <f>EOMONTH(E50,0)</f>
        <v>45351</v>
      </c>
    </row>
    <row r="51" spans="1:9" x14ac:dyDescent="0.2">
      <c r="A51" s="1">
        <v>2024</v>
      </c>
      <c r="B51" s="2" t="s">
        <v>9</v>
      </c>
      <c r="C51" s="2">
        <f>C50+1</f>
        <v>3</v>
      </c>
      <c r="D51" s="4">
        <v>5254.35</v>
      </c>
      <c r="E51" t="str">
        <f>C51&amp;"/"&amp;1&amp;"/"&amp;A51</f>
        <v>3/1/2024</v>
      </c>
      <c r="F51" s="5">
        <f>EOMONTH(E51,0)</f>
        <v>45382</v>
      </c>
    </row>
    <row r="52" spans="1:9" x14ac:dyDescent="0.2">
      <c r="A52" s="1">
        <v>2024</v>
      </c>
      <c r="B52" s="2" t="s">
        <v>8</v>
      </c>
      <c r="C52" s="2">
        <f>C51+1</f>
        <v>4</v>
      </c>
      <c r="D52" s="4">
        <v>5035.6899999999996</v>
      </c>
      <c r="E52" t="str">
        <f>C52&amp;"/"&amp;1&amp;"/"&amp;A52</f>
        <v>4/1/2024</v>
      </c>
      <c r="F52" s="5">
        <f>EOMONTH(E52,0)</f>
        <v>45412</v>
      </c>
    </row>
    <row r="53" spans="1:9" x14ac:dyDescent="0.2">
      <c r="A53" s="1">
        <v>2024</v>
      </c>
      <c r="B53" s="2" t="s">
        <v>7</v>
      </c>
      <c r="C53" s="2">
        <f>C52+1</f>
        <v>5</v>
      </c>
      <c r="D53" s="4">
        <v>5277.51</v>
      </c>
      <c r="E53" t="str">
        <f>C53&amp;"/"&amp;1&amp;"/"&amp;A53</f>
        <v>5/1/2024</v>
      </c>
      <c r="F53" s="5">
        <f>EOMONTH(E53,0)</f>
        <v>45443</v>
      </c>
    </row>
    <row r="54" spans="1:9" x14ac:dyDescent="0.2">
      <c r="A54" s="1">
        <v>2024</v>
      </c>
      <c r="B54" s="2" t="s">
        <v>6</v>
      </c>
      <c r="C54" s="2">
        <f>C53+1</f>
        <v>6</v>
      </c>
      <c r="D54" s="4">
        <v>5460.48</v>
      </c>
      <c r="E54" t="str">
        <f>C54&amp;"/"&amp;1&amp;"/"&amp;A54</f>
        <v>6/1/2024</v>
      </c>
      <c r="F54" s="5">
        <f>EOMONTH(E54,0)</f>
        <v>45473</v>
      </c>
    </row>
    <row r="55" spans="1:9" x14ac:dyDescent="0.2">
      <c r="A55" s="1">
        <v>2024</v>
      </c>
      <c r="B55" s="2" t="s">
        <v>5</v>
      </c>
      <c r="C55" s="2">
        <f>C54+1</f>
        <v>7</v>
      </c>
      <c r="D55" s="4">
        <v>5522.3</v>
      </c>
      <c r="E55" t="str">
        <f>C55&amp;"/"&amp;1&amp;"/"&amp;A55</f>
        <v>7/1/2024</v>
      </c>
      <c r="F55" s="5">
        <f>EOMONTH(E55,0)</f>
        <v>45504</v>
      </c>
    </row>
    <row r="56" spans="1:9" x14ac:dyDescent="0.2">
      <c r="A56" s="1">
        <v>2024</v>
      </c>
      <c r="B56" s="2" t="s">
        <v>4</v>
      </c>
      <c r="C56" s="2">
        <f>C55+1</f>
        <v>8</v>
      </c>
      <c r="D56" s="4">
        <v>5648.4</v>
      </c>
      <c r="E56" t="str">
        <f>C56&amp;"/"&amp;1&amp;"/"&amp;A56</f>
        <v>8/1/2024</v>
      </c>
      <c r="F56" s="5">
        <f>EOMONTH(E56,0)</f>
        <v>45535</v>
      </c>
    </row>
    <row r="57" spans="1:9" x14ac:dyDescent="0.2">
      <c r="A57" s="1">
        <v>2024</v>
      </c>
      <c r="B57" s="2" t="s">
        <v>3</v>
      </c>
      <c r="C57" s="2">
        <f>C56+1</f>
        <v>9</v>
      </c>
      <c r="D57" s="4">
        <v>5762.48</v>
      </c>
      <c r="E57" t="str">
        <f>C57&amp;"/"&amp;1&amp;"/"&amp;A57</f>
        <v>9/1/2024</v>
      </c>
      <c r="F57" s="5">
        <f>EOMONTH(E57,0)</f>
        <v>45565</v>
      </c>
    </row>
    <row r="58" spans="1:9" x14ac:dyDescent="0.2">
      <c r="A58" s="1">
        <v>2024</v>
      </c>
      <c r="B58" s="2" t="s">
        <v>2</v>
      </c>
      <c r="C58" s="2">
        <f>C57+1</f>
        <v>10</v>
      </c>
      <c r="D58" s="4">
        <v>5705.45</v>
      </c>
      <c r="E58" t="str">
        <f>C58&amp;"/"&amp;1&amp;"/"&amp;A58</f>
        <v>10/1/2024</v>
      </c>
      <c r="F58" s="5">
        <f>EOMONTH(E58,0)</f>
        <v>45596</v>
      </c>
    </row>
    <row r="59" spans="1:9" x14ac:dyDescent="0.2">
      <c r="A59" s="1">
        <v>2024</v>
      </c>
      <c r="B59" s="2" t="s">
        <v>1</v>
      </c>
      <c r="C59" s="2">
        <f>C58+1</f>
        <v>11</v>
      </c>
      <c r="D59" s="4">
        <v>6032.38</v>
      </c>
      <c r="E59" t="str">
        <f>C59&amp;"/"&amp;1&amp;"/"&amp;A59</f>
        <v>11/1/2024</v>
      </c>
      <c r="F59" s="5">
        <f>EOMONTH(E59,0)</f>
        <v>45626</v>
      </c>
    </row>
    <row r="60" spans="1:9" x14ac:dyDescent="0.2">
      <c r="A60" s="1">
        <v>2024</v>
      </c>
      <c r="B60" s="2" t="s">
        <v>0</v>
      </c>
      <c r="C60" s="2">
        <f>C59+1</f>
        <v>12</v>
      </c>
      <c r="D60" s="4">
        <v>5881.63</v>
      </c>
      <c r="E60" t="str">
        <f>C60&amp;"/"&amp;1&amp;"/"&amp;A60</f>
        <v>12/1/2024</v>
      </c>
      <c r="F60" s="5">
        <f>EOMONTH(E60,0)</f>
        <v>45657</v>
      </c>
    </row>
    <row r="61" spans="1:9" x14ac:dyDescent="0.2">
      <c r="A61" s="1">
        <v>2025</v>
      </c>
      <c r="B61" s="2" t="s">
        <v>11</v>
      </c>
      <c r="C61" s="2">
        <v>1</v>
      </c>
      <c r="D61" s="4">
        <v>6040.53</v>
      </c>
      <c r="E61" t="str">
        <f>C61&amp;"/"&amp;1&amp;"/"&amp;A61</f>
        <v>1/1/2025</v>
      </c>
      <c r="F61" s="5">
        <f>EOMONTH(E61,0)</f>
        <v>45688</v>
      </c>
      <c r="I61" t="s">
        <v>12</v>
      </c>
    </row>
    <row r="62" spans="1:9" x14ac:dyDescent="0.2">
      <c r="A62" s="1">
        <v>2025</v>
      </c>
      <c r="B62" s="2" t="s">
        <v>10</v>
      </c>
      <c r="C62" s="2">
        <f>C61+1</f>
        <v>2</v>
      </c>
      <c r="D62" s="4">
        <v>5954.5</v>
      </c>
      <c r="E62" t="str">
        <f>C62&amp;"/"&amp;1&amp;"/"&amp;A62</f>
        <v>2/1/2025</v>
      </c>
      <c r="F62" s="5">
        <f>EOMONTH(E62,0)</f>
        <v>45716</v>
      </c>
    </row>
    <row r="63" spans="1:9" x14ac:dyDescent="0.2">
      <c r="A63" s="1">
        <v>2025</v>
      </c>
      <c r="B63" s="2" t="s">
        <v>9</v>
      </c>
      <c r="C63" s="2">
        <f>C62+1</f>
        <v>3</v>
      </c>
      <c r="D63" s="4">
        <v>5611.85</v>
      </c>
      <c r="E63" t="str">
        <f>C63&amp;"/"&amp;1&amp;"/"&amp;A63</f>
        <v>3/1/2025</v>
      </c>
      <c r="F63" s="5">
        <f>EOMONTH(E63,0)</f>
        <v>45747</v>
      </c>
    </row>
    <row r="64" spans="1:9" x14ac:dyDescent="0.2">
      <c r="A64" s="1">
        <v>2025</v>
      </c>
      <c r="B64" s="2" t="s">
        <v>8</v>
      </c>
      <c r="C64" s="2">
        <f>C63+1</f>
        <v>4</v>
      </c>
      <c r="D64" s="4">
        <v>5569.06</v>
      </c>
      <c r="E64" t="str">
        <f>C64&amp;"/"&amp;1&amp;"/"&amp;A64</f>
        <v>4/1/2025</v>
      </c>
      <c r="F64" s="5">
        <f>EOMONTH(E64,0)</f>
        <v>45777</v>
      </c>
    </row>
    <row r="65" spans="1:6" x14ac:dyDescent="0.2">
      <c r="A65" s="1">
        <v>2025</v>
      </c>
      <c r="B65" s="2" t="s">
        <v>7</v>
      </c>
      <c r="C65" s="2">
        <f>C64+1</f>
        <v>5</v>
      </c>
      <c r="D65" s="4">
        <v>5911.69</v>
      </c>
      <c r="E65" t="str">
        <f>C65&amp;"/"&amp;1&amp;"/"&amp;A65</f>
        <v>5/1/2025</v>
      </c>
      <c r="F65" s="5">
        <f>EOMONTH(E65,0)</f>
        <v>45808</v>
      </c>
    </row>
    <row r="66" spans="1:6" x14ac:dyDescent="0.2">
      <c r="A66" s="1">
        <v>2025</v>
      </c>
      <c r="B66" s="2" t="s">
        <v>6</v>
      </c>
      <c r="C66" s="2">
        <f>C65+1</f>
        <v>6</v>
      </c>
      <c r="D66" s="4">
        <v>6204.95</v>
      </c>
      <c r="E66" t="str">
        <f>C66&amp;"/"&amp;1&amp;"/"&amp;A66</f>
        <v>6/1/2025</v>
      </c>
      <c r="F66" s="5">
        <f>EOMONTH(E66,0)</f>
        <v>45838</v>
      </c>
    </row>
    <row r="67" spans="1:6" x14ac:dyDescent="0.2">
      <c r="A67" s="1">
        <v>2025</v>
      </c>
      <c r="B67" s="2" t="s">
        <v>5</v>
      </c>
      <c r="C67" s="2">
        <f>C66+1</f>
        <v>7</v>
      </c>
      <c r="D67" s="4">
        <v>6339.39</v>
      </c>
      <c r="E67" t="str">
        <f>C67&amp;"/"&amp;1&amp;"/"&amp;A67</f>
        <v>7/1/2025</v>
      </c>
      <c r="F67" s="5">
        <f>EOMONTH(E67,0)</f>
        <v>45869</v>
      </c>
    </row>
    <row r="68" spans="1:6" x14ac:dyDescent="0.2">
      <c r="A68" s="1">
        <v>2025</v>
      </c>
      <c r="B68" s="2" t="s">
        <v>4</v>
      </c>
      <c r="C68" s="2">
        <f>C67+1</f>
        <v>8</v>
      </c>
      <c r="D68" s="4">
        <v>6460.26</v>
      </c>
      <c r="E68" t="str">
        <f>C68&amp;"/"&amp;1&amp;"/"&amp;A68</f>
        <v>8/1/2025</v>
      </c>
      <c r="F68" s="5">
        <f>EOMONTH(E68,0)</f>
        <v>45900</v>
      </c>
    </row>
    <row r="69" spans="1:6" x14ac:dyDescent="0.2">
      <c r="A69" s="1">
        <v>2025</v>
      </c>
      <c r="B69" s="2" t="s">
        <v>3</v>
      </c>
      <c r="C69" s="2">
        <f>C68+1</f>
        <v>9</v>
      </c>
      <c r="D69" s="4">
        <v>6688.46</v>
      </c>
      <c r="E69" t="str">
        <f>C69&amp;"/"&amp;1&amp;"/"&amp;A69</f>
        <v>9/1/2025</v>
      </c>
      <c r="F69" s="5">
        <f>EOMONTH(E69,0)</f>
        <v>45930</v>
      </c>
    </row>
    <row r="70" spans="1:6" x14ac:dyDescent="0.2">
      <c r="A70" s="1">
        <v>2025</v>
      </c>
      <c r="B70" s="2" t="s">
        <v>2</v>
      </c>
      <c r="C70" s="2">
        <f>C69+1</f>
        <v>10</v>
      </c>
      <c r="D70" s="4">
        <v>6840.2</v>
      </c>
      <c r="E70" t="str">
        <f>C70&amp;"/"&amp;1&amp;"/"&amp;A70</f>
        <v>10/1/2025</v>
      </c>
      <c r="F70" s="5">
        <f>EOMONTH(E70,0)</f>
        <v>45961</v>
      </c>
    </row>
    <row r="71" spans="1:6" x14ac:dyDescent="0.2">
      <c r="A71" s="1">
        <v>2025</v>
      </c>
      <c r="B71" s="2" t="s">
        <v>1</v>
      </c>
      <c r="C71" s="2">
        <f>C70+1</f>
        <v>11</v>
      </c>
      <c r="D71" s="4">
        <v>6849.09</v>
      </c>
      <c r="E71" t="str">
        <f>C71&amp;"/"&amp;1&amp;"/"&amp;A71</f>
        <v>11/1/2025</v>
      </c>
      <c r="F71" s="5">
        <f>EOMONTH(E71,0)</f>
        <v>45991</v>
      </c>
    </row>
    <row r="72" spans="1:6" x14ac:dyDescent="0.2">
      <c r="A72" s="1">
        <v>2025</v>
      </c>
      <c r="B72" s="2" t="s">
        <v>0</v>
      </c>
      <c r="C72" s="2">
        <f>C71+1</f>
        <v>12</v>
      </c>
      <c r="D72" s="4">
        <v>6845.5</v>
      </c>
      <c r="E72" t="str">
        <f>C72&amp;"/"&amp;1&amp;"/"&amp;A72</f>
        <v>12/1/2025</v>
      </c>
      <c r="F72" s="5">
        <f>EOMONTH(E72,0)</f>
        <v>46022</v>
      </c>
    </row>
  </sheetData>
  <sortState xmlns:xlrd2="http://schemas.microsoft.com/office/spreadsheetml/2017/richdata2" ref="A1:F72">
    <sortCondition ref="F1:F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1C6F-C3CF-3F42-90F2-EAAA9565EB6A}">
  <dimension ref="A1:B54"/>
  <sheetViews>
    <sheetView topLeftCell="A22" workbookViewId="0">
      <selection activeCell="B54" sqref="B54"/>
    </sheetView>
  </sheetViews>
  <sheetFormatPr baseColWidth="10" defaultRowHeight="16" x14ac:dyDescent="0.2"/>
  <cols>
    <col min="1" max="1" width="10.83203125" style="6"/>
  </cols>
  <sheetData>
    <row r="1" spans="1:2" x14ac:dyDescent="0.2">
      <c r="A1" s="6" t="str" cm="1">
        <f t="array" aca="1" ref="A1:B54" ca="1">_xlfn.STOCKHISTORY("SPX", "1/1/2021", "12/31/2021", 1, 1, 0, 1)</f>
        <v>Date</v>
      </c>
      <c r="B1" t="str">
        <f ca="1"/>
        <v>Close</v>
      </c>
    </row>
    <row r="2" spans="1:2" x14ac:dyDescent="0.2">
      <c r="A2" s="6" vm="1">
        <f ca="1"/>
        <v>44194</v>
      </c>
      <c r="B2" vm="2">
        <f ca="1"/>
        <v>0.38</v>
      </c>
    </row>
    <row r="3" spans="1:2" x14ac:dyDescent="0.2">
      <c r="A3" s="6" vm="3">
        <f ca="1"/>
        <v>44200</v>
      </c>
      <c r="B3" vm="4">
        <f ca="1"/>
        <v>0.44</v>
      </c>
    </row>
    <row r="4" spans="1:2" x14ac:dyDescent="0.2">
      <c r="A4" s="6" vm="5">
        <f ca="1"/>
        <v>44207</v>
      </c>
      <c r="B4" vm="6">
        <f ca="1"/>
        <v>0.64</v>
      </c>
    </row>
    <row r="5" spans="1:2" x14ac:dyDescent="0.2">
      <c r="A5" s="6" vm="7">
        <f ca="1"/>
        <v>44214</v>
      </c>
      <c r="B5" vm="8">
        <f ca="1"/>
        <v>0.72</v>
      </c>
    </row>
    <row r="6" spans="1:2" x14ac:dyDescent="0.2">
      <c r="A6" s="6" vm="9">
        <f ca="1"/>
        <v>44221</v>
      </c>
      <c r="B6" vm="10">
        <f ca="1"/>
        <v>0.63</v>
      </c>
    </row>
    <row r="7" spans="1:2" x14ac:dyDescent="0.2">
      <c r="A7" s="6" vm="11">
        <f ca="1"/>
        <v>44228</v>
      </c>
      <c r="B7" vm="12">
        <f ca="1"/>
        <v>0.62</v>
      </c>
    </row>
    <row r="8" spans="1:2" x14ac:dyDescent="0.2">
      <c r="A8" s="6" vm="13">
        <f ca="1"/>
        <v>44235</v>
      </c>
      <c r="B8" vm="14">
        <f ca="1"/>
        <v>0.65</v>
      </c>
    </row>
    <row r="9" spans="1:2" x14ac:dyDescent="0.2">
      <c r="A9" s="6" vm="15">
        <f ca="1"/>
        <v>44242</v>
      </c>
      <c r="B9" vm="16">
        <f ca="1"/>
        <v>1.1499999999999999</v>
      </c>
    </row>
    <row r="10" spans="1:2" x14ac:dyDescent="0.2">
      <c r="A10" s="6" vm="17">
        <f ca="1"/>
        <v>44249</v>
      </c>
      <c r="B10" vm="18">
        <f ca="1"/>
        <v>1.1000000000000001</v>
      </c>
    </row>
    <row r="11" spans="1:2" x14ac:dyDescent="0.2">
      <c r="A11" s="6" vm="19">
        <f ca="1"/>
        <v>44256</v>
      </c>
      <c r="B11" vm="20">
        <f ca="1"/>
        <v>0.82</v>
      </c>
    </row>
    <row r="12" spans="1:2" x14ac:dyDescent="0.2">
      <c r="A12" s="6" vm="21">
        <f ca="1"/>
        <v>44263</v>
      </c>
      <c r="B12" vm="22">
        <f ca="1"/>
        <v>0.81</v>
      </c>
    </row>
    <row r="13" spans="1:2" x14ac:dyDescent="0.2">
      <c r="A13" s="6" vm="23">
        <f ca="1"/>
        <v>44270</v>
      </c>
      <c r="B13" vm="24">
        <f ca="1"/>
        <v>0.98</v>
      </c>
    </row>
    <row r="14" spans="1:2" x14ac:dyDescent="0.2">
      <c r="A14" s="6" vm="25">
        <f ca="1"/>
        <v>44277</v>
      </c>
      <c r="B14" vm="26">
        <f ca="1"/>
        <v>0.89</v>
      </c>
    </row>
    <row r="15" spans="1:2" x14ac:dyDescent="0.2">
      <c r="A15" s="6" vm="27">
        <f ca="1"/>
        <v>44284</v>
      </c>
      <c r="B15" vm="28">
        <f ca="1"/>
        <v>0.85</v>
      </c>
    </row>
    <row r="16" spans="1:2" x14ac:dyDescent="0.2">
      <c r="A16" s="6" vm="29">
        <f ca="1"/>
        <v>44292</v>
      </c>
      <c r="B16" vm="30">
        <f ca="1"/>
        <v>0.88</v>
      </c>
    </row>
    <row r="17" spans="1:2" x14ac:dyDescent="0.2">
      <c r="A17" s="6" vm="31">
        <f ca="1"/>
        <v>44298</v>
      </c>
      <c r="B17" vm="32">
        <f ca="1"/>
        <v>0.92</v>
      </c>
    </row>
    <row r="18" spans="1:2" x14ac:dyDescent="0.2">
      <c r="A18" s="6" vm="33">
        <f ca="1"/>
        <v>44305</v>
      </c>
      <c r="B18" vm="28">
        <f ca="1"/>
        <v>0.85</v>
      </c>
    </row>
    <row r="19" spans="1:2" x14ac:dyDescent="0.2">
      <c r="A19" s="6" vm="34">
        <f ca="1"/>
        <v>44312</v>
      </c>
      <c r="B19" vm="35">
        <f ca="1"/>
        <v>0.84</v>
      </c>
    </row>
    <row r="20" spans="1:2" x14ac:dyDescent="0.2">
      <c r="A20" s="6" vm="36">
        <f ca="1"/>
        <v>44319</v>
      </c>
      <c r="B20" vm="10">
        <f ca="1"/>
        <v>0.63</v>
      </c>
    </row>
    <row r="21" spans="1:2" x14ac:dyDescent="0.2">
      <c r="A21" s="6" vm="37">
        <f ca="1"/>
        <v>44326</v>
      </c>
      <c r="B21" vm="38">
        <f ca="1"/>
        <v>0.67</v>
      </c>
    </row>
    <row r="22" spans="1:2" x14ac:dyDescent="0.2">
      <c r="A22" s="6" vm="39">
        <f ca="1"/>
        <v>44333</v>
      </c>
      <c r="B22" vm="40">
        <f ca="1"/>
        <v>0.66</v>
      </c>
    </row>
    <row r="23" spans="1:2" x14ac:dyDescent="0.2">
      <c r="A23" s="6" vm="41">
        <f ca="1"/>
        <v>44340</v>
      </c>
      <c r="B23" vm="38">
        <f ca="1"/>
        <v>0.67</v>
      </c>
    </row>
    <row r="24" spans="1:2" x14ac:dyDescent="0.2">
      <c r="A24" s="6" vm="42">
        <f ca="1"/>
        <v>44347</v>
      </c>
      <c r="B24" vm="43">
        <f ca="1"/>
        <v>0.61</v>
      </c>
    </row>
    <row r="25" spans="1:2" x14ac:dyDescent="0.2">
      <c r="A25" s="6" vm="44">
        <f ca="1"/>
        <v>44354</v>
      </c>
      <c r="B25" vm="45">
        <f ca="1"/>
        <v>0.59</v>
      </c>
    </row>
    <row r="26" spans="1:2" x14ac:dyDescent="0.2">
      <c r="A26" s="6" vm="46">
        <f ca="1"/>
        <v>44362</v>
      </c>
      <c r="B26" vm="47">
        <f ca="1"/>
        <v>0.6</v>
      </c>
    </row>
    <row r="27" spans="1:2" x14ac:dyDescent="0.2">
      <c r="A27" s="6" vm="48">
        <f ca="1"/>
        <v>44368</v>
      </c>
      <c r="B27" vm="49">
        <f ca="1"/>
        <v>0.53</v>
      </c>
    </row>
    <row r="28" spans="1:2" x14ac:dyDescent="0.2">
      <c r="A28" s="6" vm="50">
        <f ca="1"/>
        <v>44375</v>
      </c>
      <c r="B28" vm="49">
        <f ca="1"/>
        <v>0.53</v>
      </c>
    </row>
    <row r="29" spans="1:2" x14ac:dyDescent="0.2">
      <c r="A29" s="6" vm="51">
        <f ca="1"/>
        <v>44382</v>
      </c>
      <c r="B29" vm="43">
        <f ca="1"/>
        <v>0.61</v>
      </c>
    </row>
    <row r="30" spans="1:2" x14ac:dyDescent="0.2">
      <c r="A30" s="6" vm="52">
        <f ca="1"/>
        <v>44389</v>
      </c>
      <c r="B30" t="e" vm="53">
        <f ca="1"/>
        <v>#N/A</v>
      </c>
    </row>
    <row r="31" spans="1:2" x14ac:dyDescent="0.2">
      <c r="A31" s="6" vm="54">
        <f ca="1"/>
        <v>44396</v>
      </c>
      <c r="B31" vm="12">
        <f ca="1"/>
        <v>0.62</v>
      </c>
    </row>
    <row r="32" spans="1:2" x14ac:dyDescent="0.2">
      <c r="A32" s="6" vm="55">
        <f ca="1"/>
        <v>44403</v>
      </c>
      <c r="B32" vm="47">
        <f ca="1"/>
        <v>0.6</v>
      </c>
    </row>
    <row r="33" spans="1:2" x14ac:dyDescent="0.2">
      <c r="A33" s="6" vm="56">
        <f ca="1"/>
        <v>44410</v>
      </c>
      <c r="B33" vm="57">
        <f ca="1"/>
        <v>0.68</v>
      </c>
    </row>
    <row r="34" spans="1:2" x14ac:dyDescent="0.2">
      <c r="A34" s="6" vm="58">
        <f ca="1"/>
        <v>44417</v>
      </c>
      <c r="B34" vm="59">
        <f ca="1"/>
        <v>0.73</v>
      </c>
    </row>
    <row r="35" spans="1:2" x14ac:dyDescent="0.2">
      <c r="A35" s="6" vm="60">
        <f ca="1"/>
        <v>44424</v>
      </c>
      <c r="B35" vm="40">
        <f ca="1"/>
        <v>0.66</v>
      </c>
    </row>
    <row r="36" spans="1:2" x14ac:dyDescent="0.2">
      <c r="A36" s="6" vm="61">
        <f ca="1"/>
        <v>44431</v>
      </c>
      <c r="B36" vm="38">
        <f ca="1"/>
        <v>0.67</v>
      </c>
    </row>
    <row r="37" spans="1:2" x14ac:dyDescent="0.2">
      <c r="A37" s="6" vm="62">
        <f ca="1"/>
        <v>44438</v>
      </c>
      <c r="B37" vm="38">
        <f ca="1"/>
        <v>0.67</v>
      </c>
    </row>
    <row r="38" spans="1:2" x14ac:dyDescent="0.2">
      <c r="A38" s="6" vm="63">
        <f ca="1"/>
        <v>44445</v>
      </c>
      <c r="B38" vm="6">
        <f ca="1"/>
        <v>0.64</v>
      </c>
    </row>
    <row r="39" spans="1:2" x14ac:dyDescent="0.2">
      <c r="A39" s="6" vm="64">
        <f ca="1"/>
        <v>44452</v>
      </c>
      <c r="B39" vm="43">
        <f ca="1"/>
        <v>0.61</v>
      </c>
    </row>
    <row r="40" spans="1:2" x14ac:dyDescent="0.2">
      <c r="A40" s="6" vm="65">
        <f ca="1"/>
        <v>44459</v>
      </c>
      <c r="B40" vm="66">
        <f ca="1"/>
        <v>0.56000000000000005</v>
      </c>
    </row>
    <row r="41" spans="1:2" x14ac:dyDescent="0.2">
      <c r="A41" s="6" vm="67">
        <f ca="1"/>
        <v>44466</v>
      </c>
      <c r="B41" vm="68">
        <f ca="1"/>
        <v>0.55000000000000004</v>
      </c>
    </row>
    <row r="42" spans="1:2" x14ac:dyDescent="0.2">
      <c r="A42" s="6" vm="69">
        <f ca="1"/>
        <v>44473</v>
      </c>
      <c r="B42" vm="70">
        <f ca="1"/>
        <v>0.56999999999999995</v>
      </c>
    </row>
    <row r="43" spans="1:2" x14ac:dyDescent="0.2">
      <c r="A43" s="6" vm="71">
        <f ca="1"/>
        <v>44480</v>
      </c>
      <c r="B43" vm="45">
        <f ca="1"/>
        <v>0.59</v>
      </c>
    </row>
    <row r="44" spans="1:2" x14ac:dyDescent="0.2">
      <c r="A44" s="6" vm="72">
        <f ca="1"/>
        <v>44487</v>
      </c>
      <c r="B44" vm="6">
        <f ca="1"/>
        <v>0.64</v>
      </c>
    </row>
    <row r="45" spans="1:2" x14ac:dyDescent="0.2">
      <c r="A45" s="6" vm="73">
        <f ca="1"/>
        <v>44494</v>
      </c>
      <c r="B45" vm="68">
        <f ca="1"/>
        <v>0.55000000000000004</v>
      </c>
    </row>
    <row r="46" spans="1:2" x14ac:dyDescent="0.2">
      <c r="A46" s="6" vm="74">
        <f ca="1"/>
        <v>44501</v>
      </c>
      <c r="B46" vm="70">
        <f ca="1"/>
        <v>0.56999999999999995</v>
      </c>
    </row>
    <row r="47" spans="1:2" x14ac:dyDescent="0.2">
      <c r="A47" s="6" vm="75">
        <f ca="1"/>
        <v>44508</v>
      </c>
      <c r="B47" vm="66">
        <f ca="1"/>
        <v>0.56000000000000005</v>
      </c>
    </row>
    <row r="48" spans="1:2" x14ac:dyDescent="0.2">
      <c r="A48" s="6" vm="76">
        <f ca="1"/>
        <v>44515</v>
      </c>
      <c r="B48" vm="70">
        <f ca="1"/>
        <v>0.56999999999999995</v>
      </c>
    </row>
    <row r="49" spans="1:2" x14ac:dyDescent="0.2">
      <c r="A49" s="6" vm="77">
        <f ca="1"/>
        <v>44522</v>
      </c>
      <c r="B49" vm="78">
        <f ca="1"/>
        <v>0.51</v>
      </c>
    </row>
    <row r="50" spans="1:2" x14ac:dyDescent="0.2">
      <c r="A50" s="6" vm="79">
        <f ca="1"/>
        <v>44529</v>
      </c>
      <c r="B50" vm="80">
        <f ca="1"/>
        <v>0.5</v>
      </c>
    </row>
    <row r="51" spans="1:2" x14ac:dyDescent="0.2">
      <c r="A51" s="6" vm="81">
        <f ca="1"/>
        <v>44536</v>
      </c>
      <c r="B51" vm="82">
        <f ca="1"/>
        <v>0.47</v>
      </c>
    </row>
    <row r="52" spans="1:2" x14ac:dyDescent="0.2">
      <c r="A52" s="6" vm="83">
        <f ca="1"/>
        <v>44543</v>
      </c>
      <c r="B52" vm="82">
        <f ca="1"/>
        <v>0.47</v>
      </c>
    </row>
    <row r="53" spans="1:2" x14ac:dyDescent="0.2">
      <c r="A53" s="6" vm="84">
        <f ca="1"/>
        <v>44550</v>
      </c>
      <c r="B53" vm="85">
        <f ca="1"/>
        <v>0.46</v>
      </c>
    </row>
    <row r="54" spans="1:2" x14ac:dyDescent="0.2">
      <c r="A54" s="6" vm="86">
        <f ca="1"/>
        <v>44559</v>
      </c>
      <c r="B54" vm="87">
        <f ca="1"/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Partha</dc:creator>
  <cp:lastModifiedBy>Sarkar, Partha</cp:lastModifiedBy>
  <dcterms:created xsi:type="dcterms:W3CDTF">2026-01-16T23:47:57Z</dcterms:created>
  <dcterms:modified xsi:type="dcterms:W3CDTF">2026-01-20T19:33:36Z</dcterms:modified>
</cp:coreProperties>
</file>